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ilacristina/ecopan/fase3/cupins_ecopan/data/raw/"/>
    </mc:Choice>
  </mc:AlternateContent>
  <xr:revisionPtr revIDLastSave="0" documentId="8_{86A823D6-42FA-AD43-B653-65979E2614F0}" xr6:coauthVersionLast="47" xr6:coauthVersionMax="47" xr10:uidLastSave="{00000000-0000-0000-0000-000000000000}"/>
  <bookViews>
    <workbookView xWindow="4420" yWindow="660" windowWidth="24980" windowHeight="17600" xr2:uid="{04C7B980-90C4-4B4B-BE90-0937D8BBCD2B}"/>
  </bookViews>
  <sheets>
    <sheet name="p_final_cupins" sheetId="1" r:id="rId1"/>
  </sheets>
  <definedNames>
    <definedName name="_xlnm._FilterDatabase" localSheetId="0" hidden="1">p_final_cupins!$A$1:$D$1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42" i="1"/>
  <c r="J43" i="1"/>
  <c r="E41" i="1"/>
  <c r="E42" i="1"/>
  <c r="E43" i="1"/>
  <c r="E38" i="1"/>
  <c r="E39" i="1"/>
  <c r="E40" i="1"/>
  <c r="J38" i="1"/>
  <c r="J39" i="1"/>
  <c r="J4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  <c r="J2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4" i="1"/>
</calcChain>
</file>

<file path=xl/sharedStrings.xml><?xml version="1.0" encoding="utf-8"?>
<sst xmlns="http://schemas.openxmlformats.org/spreadsheetml/2006/main" count="94" uniqueCount="27">
  <si>
    <t>ninho</t>
  </si>
  <si>
    <t>proximi</t>
  </si>
  <si>
    <t>c1</t>
  </si>
  <si>
    <t>p10</t>
  </si>
  <si>
    <t>p50</t>
  </si>
  <si>
    <t>p95</t>
  </si>
  <si>
    <t>c3</t>
  </si>
  <si>
    <t>c4</t>
  </si>
  <si>
    <t>c7</t>
  </si>
  <si>
    <t>c8</t>
  </si>
  <si>
    <t>c11</t>
  </si>
  <si>
    <t>c13</t>
  </si>
  <si>
    <t>c14</t>
  </si>
  <si>
    <t>c15</t>
  </si>
  <si>
    <t>c16</t>
  </si>
  <si>
    <t>c18</t>
  </si>
  <si>
    <t>c20</t>
  </si>
  <si>
    <t>c21</t>
  </si>
  <si>
    <t>n_cupim</t>
  </si>
  <si>
    <t>A_cm</t>
  </si>
  <si>
    <t>B_cm</t>
  </si>
  <si>
    <t>C_cm</t>
  </si>
  <si>
    <t>volume</t>
  </si>
  <si>
    <t>c2</t>
  </si>
  <si>
    <t>t_recrut</t>
  </si>
  <si>
    <t>t_ope_s</t>
  </si>
  <si>
    <t>t_sold_s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</si>
</sst>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2DE0-D314-CE4D-9570-1CF988B035AE}">
  <dimension ref="A1:J43"/>
  <sheetViews>
    <sheetView tabSelected="1" zoomScale="130" zoomScaleNormal="130" workbookViewId="0">
      <pane ySplit="1" topLeftCell="A2" activePane="bottomLeft" state="frozen"/>
      <selection pane="bottomLeft" activeCell="H8" sqref="H8"/>
    </sheetView>
  </sheetViews>
  <sheetFormatPr baseColWidth="10" defaultRowHeight="16" x14ac:dyDescent="0.2"/>
  <sheetData>
    <row r="1" spans="1:10" s="1" customFormat="1" x14ac:dyDescent="0.2">
      <c r="A1" s="1" t="s">
        <v>0</v>
      </c>
      <c r="B1" s="1" t="s">
        <v>1</v>
      </c>
      <c r="C1" s="1" t="s">
        <v>26</v>
      </c>
      <c r="D1" s="1" t="s">
        <v>25</v>
      </c>
      <c r="E1" s="1" t="s">
        <v>24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s="2" customFormat="1" x14ac:dyDescent="0.2">
      <c r="A2" s="2" t="s">
        <v>8</v>
      </c>
      <c r="B2" s="2" t="s">
        <v>3</v>
      </c>
      <c r="C2" s="2">
        <v>0</v>
      </c>
      <c r="D2" s="2">
        <v>411</v>
      </c>
      <c r="E2" s="2">
        <f>D2-C2</f>
        <v>411</v>
      </c>
      <c r="F2" s="2">
        <v>11</v>
      </c>
      <c r="G2" s="2">
        <v>11</v>
      </c>
      <c r="H2" s="2">
        <v>21</v>
      </c>
      <c r="I2" s="2">
        <v>13</v>
      </c>
      <c r="J2" s="3">
        <f>I2*H2*G2*(4/3)*(3.14159)/1000</f>
        <v>12.578926359999999</v>
      </c>
    </row>
    <row r="3" spans="1:10" x14ac:dyDescent="0.2">
      <c r="A3" t="s">
        <v>8</v>
      </c>
      <c r="B3" t="s">
        <v>4</v>
      </c>
      <c r="C3">
        <v>0</v>
      </c>
      <c r="D3">
        <v>172</v>
      </c>
      <c r="E3">
        <f t="shared" ref="E3:E43" si="0">D3-C3</f>
        <v>172</v>
      </c>
      <c r="F3">
        <v>27</v>
      </c>
      <c r="G3">
        <v>11</v>
      </c>
      <c r="H3">
        <v>21</v>
      </c>
      <c r="I3">
        <v>13</v>
      </c>
      <c r="J3" s="4">
        <f>I3*H3*G3*(4/3)*(3.14159)/1000</f>
        <v>12.578926359999999</v>
      </c>
    </row>
    <row r="4" spans="1:10" x14ac:dyDescent="0.2">
      <c r="A4" t="s">
        <v>8</v>
      </c>
      <c r="B4" t="s">
        <v>5</v>
      </c>
      <c r="C4">
        <v>88</v>
      </c>
      <c r="D4">
        <v>900</v>
      </c>
      <c r="E4">
        <f t="shared" si="0"/>
        <v>812</v>
      </c>
      <c r="F4">
        <v>3</v>
      </c>
      <c r="G4" s="5">
        <v>11</v>
      </c>
      <c r="H4" s="5">
        <v>21</v>
      </c>
      <c r="I4" s="5">
        <v>13</v>
      </c>
      <c r="J4" s="4">
        <f>I4*H4*G4*(4/3)*(3.14159)/1000</f>
        <v>12.578926359999999</v>
      </c>
    </row>
    <row r="5" spans="1:10" s="2" customFormat="1" x14ac:dyDescent="0.2">
      <c r="A5" s="2" t="s">
        <v>9</v>
      </c>
      <c r="B5" s="2" t="s">
        <v>3</v>
      </c>
      <c r="E5" s="2">
        <f t="shared" si="0"/>
        <v>0</v>
      </c>
      <c r="F5" s="2">
        <v>0</v>
      </c>
      <c r="G5" s="2">
        <v>10</v>
      </c>
      <c r="H5" s="2">
        <v>20</v>
      </c>
      <c r="I5" s="2">
        <v>12</v>
      </c>
      <c r="J5" s="3">
        <f t="shared" ref="J5:J43" si="1">I5*H5*G5*(4/3)*(3.14159)/1000</f>
        <v>10.053087999999999</v>
      </c>
    </row>
    <row r="6" spans="1:10" x14ac:dyDescent="0.2">
      <c r="A6" t="s">
        <v>9</v>
      </c>
      <c r="B6" t="s">
        <v>4</v>
      </c>
      <c r="E6">
        <f t="shared" si="0"/>
        <v>0</v>
      </c>
      <c r="F6">
        <v>0</v>
      </c>
      <c r="G6">
        <v>10</v>
      </c>
      <c r="H6">
        <v>20</v>
      </c>
      <c r="I6">
        <v>12</v>
      </c>
      <c r="J6" s="4">
        <f t="shared" si="1"/>
        <v>10.053087999999999</v>
      </c>
    </row>
    <row r="7" spans="1:10" x14ac:dyDescent="0.2">
      <c r="A7" t="s">
        <v>9</v>
      </c>
      <c r="B7" t="s">
        <v>5</v>
      </c>
      <c r="E7">
        <f t="shared" si="0"/>
        <v>0</v>
      </c>
      <c r="F7">
        <v>0</v>
      </c>
      <c r="G7">
        <v>10</v>
      </c>
      <c r="H7">
        <v>20</v>
      </c>
      <c r="I7">
        <v>12</v>
      </c>
      <c r="J7" s="4">
        <f t="shared" si="1"/>
        <v>10.053087999999999</v>
      </c>
    </row>
    <row r="8" spans="1:10" s="2" customFormat="1" x14ac:dyDescent="0.2">
      <c r="A8" s="2" t="s">
        <v>10</v>
      </c>
      <c r="B8" s="2" t="s">
        <v>3</v>
      </c>
      <c r="C8" s="2">
        <v>4</v>
      </c>
      <c r="D8" s="2">
        <v>123</v>
      </c>
      <c r="E8" s="2">
        <f t="shared" si="0"/>
        <v>119</v>
      </c>
      <c r="F8" s="2">
        <v>3</v>
      </c>
      <c r="G8" s="2">
        <v>90</v>
      </c>
      <c r="H8" s="2">
        <v>22</v>
      </c>
      <c r="I8" s="2">
        <v>49</v>
      </c>
      <c r="J8" s="3">
        <f t="shared" si="1"/>
        <v>406.39608240000001</v>
      </c>
    </row>
    <row r="9" spans="1:10" x14ac:dyDescent="0.2">
      <c r="A9" t="s">
        <v>10</v>
      </c>
      <c r="B9" t="s">
        <v>4</v>
      </c>
      <c r="C9">
        <v>218</v>
      </c>
      <c r="D9">
        <v>472</v>
      </c>
      <c r="E9">
        <f t="shared" si="0"/>
        <v>254</v>
      </c>
      <c r="F9">
        <v>3</v>
      </c>
      <c r="G9">
        <v>90</v>
      </c>
      <c r="H9">
        <v>22</v>
      </c>
      <c r="I9">
        <v>49</v>
      </c>
      <c r="J9" s="4">
        <f t="shared" si="1"/>
        <v>406.39608240000001</v>
      </c>
    </row>
    <row r="10" spans="1:10" x14ac:dyDescent="0.2">
      <c r="A10" t="s">
        <v>10</v>
      </c>
      <c r="B10" t="s">
        <v>5</v>
      </c>
      <c r="C10">
        <v>0</v>
      </c>
      <c r="D10">
        <v>138</v>
      </c>
      <c r="E10">
        <f t="shared" si="0"/>
        <v>138</v>
      </c>
      <c r="F10">
        <v>21</v>
      </c>
      <c r="G10">
        <v>90</v>
      </c>
      <c r="H10">
        <v>22</v>
      </c>
      <c r="I10">
        <v>49</v>
      </c>
      <c r="J10" s="4">
        <f t="shared" si="1"/>
        <v>406.39608240000001</v>
      </c>
    </row>
    <row r="11" spans="1:10" s="2" customFormat="1" x14ac:dyDescent="0.2">
      <c r="A11" s="2" t="s">
        <v>6</v>
      </c>
      <c r="B11" s="2" t="s">
        <v>3</v>
      </c>
      <c r="C11" s="2">
        <v>8</v>
      </c>
      <c r="D11" s="2">
        <v>592</v>
      </c>
      <c r="E11" s="2">
        <f t="shared" si="0"/>
        <v>584</v>
      </c>
      <c r="F11" s="2">
        <v>12</v>
      </c>
      <c r="G11" s="2">
        <v>39</v>
      </c>
      <c r="H11" s="2">
        <v>11</v>
      </c>
      <c r="I11" s="2">
        <v>22</v>
      </c>
      <c r="J11" s="3">
        <f t="shared" si="1"/>
        <v>39.533768559999999</v>
      </c>
    </row>
    <row r="12" spans="1:10" x14ac:dyDescent="0.2">
      <c r="A12" t="s">
        <v>6</v>
      </c>
      <c r="B12" t="s">
        <v>4</v>
      </c>
      <c r="C12">
        <v>13</v>
      </c>
      <c r="D12">
        <v>364</v>
      </c>
      <c r="E12">
        <f t="shared" si="0"/>
        <v>351</v>
      </c>
      <c r="F12">
        <v>5</v>
      </c>
      <c r="G12">
        <v>39</v>
      </c>
      <c r="H12">
        <v>11</v>
      </c>
      <c r="I12">
        <v>22</v>
      </c>
      <c r="J12" s="4">
        <f t="shared" si="1"/>
        <v>39.533768559999999</v>
      </c>
    </row>
    <row r="13" spans="1:10" x14ac:dyDescent="0.2">
      <c r="A13" t="s">
        <v>6</v>
      </c>
      <c r="B13" t="s">
        <v>5</v>
      </c>
      <c r="C13">
        <v>20</v>
      </c>
      <c r="D13">
        <v>460</v>
      </c>
      <c r="E13">
        <f t="shared" si="0"/>
        <v>440</v>
      </c>
      <c r="F13">
        <v>34</v>
      </c>
      <c r="G13">
        <v>39</v>
      </c>
      <c r="H13">
        <v>11</v>
      </c>
      <c r="I13">
        <v>22</v>
      </c>
      <c r="J13" s="4">
        <f t="shared" si="1"/>
        <v>39.533768559999999</v>
      </c>
    </row>
    <row r="14" spans="1:10" s="2" customFormat="1" x14ac:dyDescent="0.2">
      <c r="A14" s="2" t="s">
        <v>2</v>
      </c>
      <c r="B14" s="2" t="s">
        <v>3</v>
      </c>
      <c r="C14" s="2">
        <v>0</v>
      </c>
      <c r="D14" s="2">
        <v>964</v>
      </c>
      <c r="E14" s="2">
        <f t="shared" si="0"/>
        <v>964</v>
      </c>
      <c r="F14" s="2">
        <v>18</v>
      </c>
      <c r="G14" s="2">
        <v>46</v>
      </c>
      <c r="H14" s="2">
        <v>27</v>
      </c>
      <c r="I14" s="2">
        <v>22</v>
      </c>
      <c r="J14" s="3">
        <f t="shared" si="1"/>
        <v>114.45440687999999</v>
      </c>
    </row>
    <row r="15" spans="1:10" x14ac:dyDescent="0.2">
      <c r="A15" t="s">
        <v>2</v>
      </c>
      <c r="B15" t="s">
        <v>4</v>
      </c>
      <c r="C15">
        <v>9</v>
      </c>
      <c r="D15">
        <v>336</v>
      </c>
      <c r="E15">
        <f t="shared" si="0"/>
        <v>327</v>
      </c>
      <c r="F15">
        <v>24</v>
      </c>
      <c r="G15">
        <v>46</v>
      </c>
      <c r="H15">
        <v>27</v>
      </c>
      <c r="I15">
        <v>22</v>
      </c>
      <c r="J15" s="4">
        <f t="shared" si="1"/>
        <v>114.45440687999999</v>
      </c>
    </row>
    <row r="16" spans="1:10" x14ac:dyDescent="0.2">
      <c r="A16" t="s">
        <v>2</v>
      </c>
      <c r="B16" t="s">
        <v>5</v>
      </c>
      <c r="C16">
        <v>0</v>
      </c>
      <c r="D16">
        <v>320</v>
      </c>
      <c r="E16">
        <f t="shared" si="0"/>
        <v>320</v>
      </c>
      <c r="F16">
        <v>70</v>
      </c>
      <c r="G16">
        <v>46</v>
      </c>
      <c r="H16">
        <v>27</v>
      </c>
      <c r="I16">
        <v>22</v>
      </c>
      <c r="J16" s="4">
        <f t="shared" si="1"/>
        <v>114.45440687999999</v>
      </c>
    </row>
    <row r="17" spans="1:10" s="2" customFormat="1" x14ac:dyDescent="0.2">
      <c r="A17" s="2" t="s">
        <v>11</v>
      </c>
      <c r="B17" s="2" t="s">
        <v>3</v>
      </c>
      <c r="C17" s="2">
        <v>0</v>
      </c>
      <c r="D17" s="2">
        <v>241</v>
      </c>
      <c r="E17" s="2">
        <f t="shared" si="0"/>
        <v>241</v>
      </c>
      <c r="F17" s="2">
        <v>15</v>
      </c>
      <c r="G17" s="2">
        <v>26</v>
      </c>
      <c r="H17" s="2">
        <v>19</v>
      </c>
      <c r="I17" s="2">
        <v>23</v>
      </c>
      <c r="J17" s="3">
        <f t="shared" si="1"/>
        <v>47.592994106666659</v>
      </c>
    </row>
    <row r="18" spans="1:10" x14ac:dyDescent="0.2">
      <c r="A18" t="s">
        <v>11</v>
      </c>
      <c r="B18" t="s">
        <v>4</v>
      </c>
      <c r="C18">
        <v>0</v>
      </c>
      <c r="D18">
        <v>480</v>
      </c>
      <c r="E18">
        <f t="shared" si="0"/>
        <v>480</v>
      </c>
      <c r="F18">
        <v>18</v>
      </c>
      <c r="G18">
        <v>26</v>
      </c>
      <c r="H18">
        <v>19</v>
      </c>
      <c r="I18">
        <v>23</v>
      </c>
      <c r="J18" s="4">
        <f t="shared" si="1"/>
        <v>47.592994106666659</v>
      </c>
    </row>
    <row r="19" spans="1:10" x14ac:dyDescent="0.2">
      <c r="A19" t="s">
        <v>11</v>
      </c>
      <c r="B19" t="s">
        <v>5</v>
      </c>
      <c r="C19">
        <v>2</v>
      </c>
      <c r="D19">
        <v>393</v>
      </c>
      <c r="E19">
        <f t="shared" si="0"/>
        <v>391</v>
      </c>
      <c r="F19">
        <v>30</v>
      </c>
      <c r="G19">
        <v>26</v>
      </c>
      <c r="H19">
        <v>19</v>
      </c>
      <c r="I19">
        <v>23</v>
      </c>
      <c r="J19" s="4">
        <f t="shared" si="1"/>
        <v>47.592994106666659</v>
      </c>
    </row>
    <row r="20" spans="1:10" s="2" customFormat="1" x14ac:dyDescent="0.2">
      <c r="A20" s="2" t="s">
        <v>12</v>
      </c>
      <c r="B20" s="2" t="s">
        <v>3</v>
      </c>
      <c r="C20" s="2">
        <v>0</v>
      </c>
      <c r="D20" s="2">
        <v>969</v>
      </c>
      <c r="E20" s="2">
        <f t="shared" si="0"/>
        <v>969</v>
      </c>
      <c r="F20" s="2">
        <v>50</v>
      </c>
      <c r="G20" s="2">
        <v>42</v>
      </c>
      <c r="H20" s="2">
        <v>21</v>
      </c>
      <c r="I20" s="2">
        <v>35</v>
      </c>
      <c r="J20" s="3">
        <f t="shared" si="1"/>
        <v>129.30784439999999</v>
      </c>
    </row>
    <row r="21" spans="1:10" x14ac:dyDescent="0.2">
      <c r="A21" t="s">
        <v>12</v>
      </c>
      <c r="B21" t="s">
        <v>4</v>
      </c>
      <c r="C21">
        <v>4</v>
      </c>
      <c r="D21">
        <v>712</v>
      </c>
      <c r="E21">
        <f t="shared" si="0"/>
        <v>708</v>
      </c>
      <c r="F21">
        <v>29</v>
      </c>
      <c r="G21">
        <v>42</v>
      </c>
      <c r="H21">
        <v>21</v>
      </c>
      <c r="I21">
        <v>35</v>
      </c>
      <c r="J21" s="4">
        <f t="shared" si="1"/>
        <v>129.30784439999999</v>
      </c>
    </row>
    <row r="22" spans="1:10" x14ac:dyDescent="0.2">
      <c r="A22" t="s">
        <v>12</v>
      </c>
      <c r="B22" t="s">
        <v>5</v>
      </c>
      <c r="C22">
        <v>9</v>
      </c>
      <c r="D22">
        <v>192</v>
      </c>
      <c r="E22">
        <f t="shared" si="0"/>
        <v>183</v>
      </c>
      <c r="F22">
        <v>67</v>
      </c>
      <c r="G22">
        <v>42</v>
      </c>
      <c r="H22">
        <v>21</v>
      </c>
      <c r="I22">
        <v>35</v>
      </c>
      <c r="J22" s="4">
        <f t="shared" si="1"/>
        <v>129.30784439999999</v>
      </c>
    </row>
    <row r="23" spans="1:10" s="2" customFormat="1" x14ac:dyDescent="0.2">
      <c r="A23" s="2" t="s">
        <v>13</v>
      </c>
      <c r="B23" s="2" t="s">
        <v>3</v>
      </c>
      <c r="E23" s="2">
        <f t="shared" si="0"/>
        <v>0</v>
      </c>
      <c r="F23" s="2">
        <v>0</v>
      </c>
      <c r="G23" s="2">
        <v>44</v>
      </c>
      <c r="H23" s="2">
        <v>24</v>
      </c>
      <c r="I23" s="2">
        <v>33</v>
      </c>
      <c r="J23" s="3">
        <f t="shared" si="1"/>
        <v>145.97083775999999</v>
      </c>
    </row>
    <row r="24" spans="1:10" x14ac:dyDescent="0.2">
      <c r="A24" t="s">
        <v>13</v>
      </c>
      <c r="B24" t="s">
        <v>4</v>
      </c>
      <c r="E24">
        <f t="shared" si="0"/>
        <v>0</v>
      </c>
      <c r="F24">
        <v>0</v>
      </c>
      <c r="G24">
        <v>44</v>
      </c>
      <c r="H24">
        <v>24</v>
      </c>
      <c r="I24">
        <v>33</v>
      </c>
      <c r="J24" s="4">
        <f t="shared" si="1"/>
        <v>145.97083775999999</v>
      </c>
    </row>
    <row r="25" spans="1:10" x14ac:dyDescent="0.2">
      <c r="A25" t="s">
        <v>13</v>
      </c>
      <c r="B25" t="s">
        <v>5</v>
      </c>
      <c r="C25">
        <v>0</v>
      </c>
      <c r="D25">
        <v>0</v>
      </c>
      <c r="E25">
        <f t="shared" si="0"/>
        <v>0</v>
      </c>
      <c r="F25">
        <v>0</v>
      </c>
      <c r="G25">
        <v>44</v>
      </c>
      <c r="H25">
        <v>24</v>
      </c>
      <c r="I25">
        <v>33</v>
      </c>
      <c r="J25" s="4">
        <f t="shared" si="1"/>
        <v>145.97083775999999</v>
      </c>
    </row>
    <row r="26" spans="1:10" s="2" customFormat="1" x14ac:dyDescent="0.2">
      <c r="A26" s="2" t="s">
        <v>14</v>
      </c>
      <c r="B26" s="2" t="s">
        <v>3</v>
      </c>
      <c r="C26" s="2">
        <v>152</v>
      </c>
      <c r="D26" s="2">
        <v>216</v>
      </c>
      <c r="E26" s="2">
        <f t="shared" si="0"/>
        <v>64</v>
      </c>
      <c r="F26" s="2">
        <v>2</v>
      </c>
      <c r="G26" s="2">
        <v>40</v>
      </c>
      <c r="H26" s="2">
        <v>30</v>
      </c>
      <c r="I26" s="2">
        <v>22</v>
      </c>
      <c r="J26" s="3">
        <f t="shared" si="1"/>
        <v>110.583968</v>
      </c>
    </row>
    <row r="27" spans="1:10" x14ac:dyDescent="0.2">
      <c r="A27" t="s">
        <v>14</v>
      </c>
      <c r="B27" t="s">
        <v>4</v>
      </c>
      <c r="C27">
        <v>10</v>
      </c>
      <c r="D27">
        <v>59</v>
      </c>
      <c r="E27">
        <f t="shared" si="0"/>
        <v>49</v>
      </c>
      <c r="F27">
        <v>16</v>
      </c>
      <c r="G27">
        <v>40</v>
      </c>
      <c r="H27">
        <v>30</v>
      </c>
      <c r="I27">
        <v>22</v>
      </c>
      <c r="J27" s="4">
        <f t="shared" si="1"/>
        <v>110.583968</v>
      </c>
    </row>
    <row r="28" spans="1:10" x14ac:dyDescent="0.2">
      <c r="A28" t="s">
        <v>14</v>
      </c>
      <c r="B28" t="s">
        <v>5</v>
      </c>
      <c r="C28">
        <v>5</v>
      </c>
      <c r="D28">
        <v>58</v>
      </c>
      <c r="E28">
        <f t="shared" si="0"/>
        <v>53</v>
      </c>
      <c r="F28">
        <v>15</v>
      </c>
      <c r="G28">
        <v>40</v>
      </c>
      <c r="H28">
        <v>30</v>
      </c>
      <c r="I28">
        <v>22</v>
      </c>
      <c r="J28" s="4">
        <f t="shared" si="1"/>
        <v>110.583968</v>
      </c>
    </row>
    <row r="29" spans="1:10" s="2" customFormat="1" x14ac:dyDescent="0.2">
      <c r="A29" s="2" t="s">
        <v>17</v>
      </c>
      <c r="B29" s="2" t="s">
        <v>3</v>
      </c>
      <c r="C29" s="2">
        <v>21</v>
      </c>
      <c r="D29" s="2">
        <v>192</v>
      </c>
      <c r="E29" s="2">
        <f t="shared" si="0"/>
        <v>171</v>
      </c>
      <c r="F29" s="2">
        <v>4</v>
      </c>
      <c r="G29" s="2">
        <v>27</v>
      </c>
      <c r="H29" s="2">
        <v>30</v>
      </c>
      <c r="I29" s="2">
        <v>17</v>
      </c>
      <c r="J29" s="3">
        <f t="shared" si="1"/>
        <v>57.679592400000004</v>
      </c>
    </row>
    <row r="30" spans="1:10" x14ac:dyDescent="0.2">
      <c r="A30" t="s">
        <v>17</v>
      </c>
      <c r="B30" t="s">
        <v>4</v>
      </c>
      <c r="C30">
        <v>11</v>
      </c>
      <c r="D30">
        <v>123</v>
      </c>
      <c r="E30">
        <f t="shared" si="0"/>
        <v>112</v>
      </c>
      <c r="F30">
        <v>14</v>
      </c>
      <c r="G30">
        <v>27</v>
      </c>
      <c r="H30">
        <v>30</v>
      </c>
      <c r="I30">
        <v>17</v>
      </c>
      <c r="J30" s="4">
        <f t="shared" si="1"/>
        <v>57.679592400000004</v>
      </c>
    </row>
    <row r="31" spans="1:10" x14ac:dyDescent="0.2">
      <c r="A31" t="s">
        <v>17</v>
      </c>
      <c r="B31" t="s">
        <v>5</v>
      </c>
      <c r="C31">
        <v>0</v>
      </c>
      <c r="D31">
        <v>350</v>
      </c>
      <c r="E31">
        <f t="shared" si="0"/>
        <v>350</v>
      </c>
      <c r="F31">
        <v>32</v>
      </c>
      <c r="G31">
        <v>27</v>
      </c>
      <c r="H31">
        <v>30</v>
      </c>
      <c r="I31">
        <v>17</v>
      </c>
      <c r="J31" s="4">
        <f t="shared" si="1"/>
        <v>57.679592400000004</v>
      </c>
    </row>
    <row r="32" spans="1:10" s="2" customFormat="1" x14ac:dyDescent="0.2">
      <c r="A32" s="2" t="s">
        <v>15</v>
      </c>
      <c r="B32" s="2" t="s">
        <v>3</v>
      </c>
      <c r="C32" s="2">
        <v>0</v>
      </c>
      <c r="D32" s="2">
        <v>1200</v>
      </c>
      <c r="E32" s="2">
        <f t="shared" si="0"/>
        <v>1200</v>
      </c>
      <c r="F32" s="2">
        <v>51</v>
      </c>
      <c r="G32" s="2">
        <v>35</v>
      </c>
      <c r="H32" s="2">
        <v>20</v>
      </c>
      <c r="I32" s="2">
        <v>40</v>
      </c>
      <c r="J32" s="3">
        <f t="shared" si="1"/>
        <v>117.28602666666664</v>
      </c>
    </row>
    <row r="33" spans="1:10" x14ac:dyDescent="0.2">
      <c r="A33" t="s">
        <v>15</v>
      </c>
      <c r="B33" t="s">
        <v>4</v>
      </c>
      <c r="C33">
        <v>7</v>
      </c>
      <c r="D33">
        <v>974</v>
      </c>
      <c r="E33">
        <f t="shared" si="0"/>
        <v>967</v>
      </c>
      <c r="F33">
        <v>17</v>
      </c>
      <c r="G33">
        <v>35</v>
      </c>
      <c r="H33">
        <v>20</v>
      </c>
      <c r="I33">
        <v>40</v>
      </c>
      <c r="J33" s="4">
        <f t="shared" si="1"/>
        <v>117.28602666666664</v>
      </c>
    </row>
    <row r="34" spans="1:10" x14ac:dyDescent="0.2">
      <c r="A34" t="s">
        <v>15</v>
      </c>
      <c r="B34" t="s">
        <v>5</v>
      </c>
      <c r="C34">
        <v>0</v>
      </c>
      <c r="D34">
        <v>699</v>
      </c>
      <c r="E34">
        <f t="shared" si="0"/>
        <v>699</v>
      </c>
      <c r="F34">
        <v>84</v>
      </c>
      <c r="G34">
        <v>35</v>
      </c>
      <c r="H34">
        <v>20</v>
      </c>
      <c r="I34">
        <v>40</v>
      </c>
      <c r="J34" s="4">
        <f t="shared" si="1"/>
        <v>117.28602666666664</v>
      </c>
    </row>
    <row r="35" spans="1:10" s="2" customFormat="1" x14ac:dyDescent="0.2">
      <c r="A35" s="2" t="s">
        <v>16</v>
      </c>
      <c r="B35" s="2" t="s">
        <v>3</v>
      </c>
      <c r="C35" s="2">
        <v>7</v>
      </c>
      <c r="D35" s="2">
        <v>265</v>
      </c>
      <c r="E35" s="2">
        <f t="shared" si="0"/>
        <v>258</v>
      </c>
      <c r="F35" s="2">
        <v>6</v>
      </c>
      <c r="G35" s="2">
        <v>20</v>
      </c>
      <c r="H35" s="2">
        <v>15</v>
      </c>
      <c r="I35" s="2">
        <v>20</v>
      </c>
      <c r="J35" s="3">
        <f t="shared" si="1"/>
        <v>25.132719999999999</v>
      </c>
    </row>
    <row r="36" spans="1:10" x14ac:dyDescent="0.2">
      <c r="A36" t="s">
        <v>16</v>
      </c>
      <c r="B36" t="s">
        <v>4</v>
      </c>
      <c r="C36">
        <v>3</v>
      </c>
      <c r="D36">
        <v>643</v>
      </c>
      <c r="E36">
        <f t="shared" si="0"/>
        <v>640</v>
      </c>
      <c r="F36">
        <v>18</v>
      </c>
      <c r="G36">
        <v>20</v>
      </c>
      <c r="H36">
        <v>15</v>
      </c>
      <c r="I36">
        <v>20</v>
      </c>
      <c r="J36" s="4">
        <f t="shared" si="1"/>
        <v>25.132719999999999</v>
      </c>
    </row>
    <row r="37" spans="1:10" x14ac:dyDescent="0.2">
      <c r="A37" t="s">
        <v>16</v>
      </c>
      <c r="B37" t="s">
        <v>5</v>
      </c>
      <c r="C37">
        <v>15</v>
      </c>
      <c r="D37">
        <v>68</v>
      </c>
      <c r="E37">
        <f t="shared" si="0"/>
        <v>53</v>
      </c>
      <c r="F37">
        <v>35</v>
      </c>
      <c r="G37">
        <v>20</v>
      </c>
      <c r="H37">
        <v>15</v>
      </c>
      <c r="I37">
        <v>20</v>
      </c>
      <c r="J37" s="4">
        <f t="shared" si="1"/>
        <v>25.132719999999999</v>
      </c>
    </row>
    <row r="38" spans="1:10" s="2" customFormat="1" x14ac:dyDescent="0.2">
      <c r="A38" s="2" t="s">
        <v>23</v>
      </c>
      <c r="B38" s="2" t="s">
        <v>3</v>
      </c>
      <c r="C38" s="2">
        <v>20</v>
      </c>
      <c r="D38" s="2">
        <v>398</v>
      </c>
      <c r="E38" s="2">
        <f t="shared" si="0"/>
        <v>378</v>
      </c>
      <c r="F38" s="2">
        <v>4</v>
      </c>
      <c r="G38" s="2">
        <v>18</v>
      </c>
      <c r="H38" s="2">
        <v>23</v>
      </c>
      <c r="I38" s="2">
        <v>22</v>
      </c>
      <c r="J38" s="3">
        <f t="shared" si="1"/>
        <v>38.151468959999995</v>
      </c>
    </row>
    <row r="39" spans="1:10" x14ac:dyDescent="0.2">
      <c r="A39" t="s">
        <v>23</v>
      </c>
      <c r="B39" t="s">
        <v>4</v>
      </c>
      <c r="C39">
        <v>34</v>
      </c>
      <c r="D39">
        <v>516</v>
      </c>
      <c r="E39">
        <f t="shared" si="0"/>
        <v>482</v>
      </c>
      <c r="F39">
        <v>4</v>
      </c>
      <c r="G39">
        <v>18</v>
      </c>
      <c r="H39">
        <v>23</v>
      </c>
      <c r="I39">
        <v>22</v>
      </c>
      <c r="J39" s="4">
        <f t="shared" si="1"/>
        <v>38.151468959999995</v>
      </c>
    </row>
    <row r="40" spans="1:10" x14ac:dyDescent="0.2">
      <c r="A40" t="s">
        <v>23</v>
      </c>
      <c r="B40" t="s">
        <v>5</v>
      </c>
      <c r="C40">
        <v>10</v>
      </c>
      <c r="D40">
        <v>264</v>
      </c>
      <c r="E40">
        <f t="shared" si="0"/>
        <v>254</v>
      </c>
      <c r="F40">
        <v>23</v>
      </c>
      <c r="G40">
        <v>18</v>
      </c>
      <c r="H40">
        <v>23</v>
      </c>
      <c r="I40">
        <v>22</v>
      </c>
      <c r="J40" s="4">
        <f t="shared" si="1"/>
        <v>38.151468959999995</v>
      </c>
    </row>
    <row r="41" spans="1:10" s="2" customFormat="1" x14ac:dyDescent="0.2">
      <c r="A41" s="2" t="s">
        <v>7</v>
      </c>
      <c r="B41" s="2" t="s">
        <v>3</v>
      </c>
      <c r="E41" s="2">
        <f t="shared" si="0"/>
        <v>0</v>
      </c>
      <c r="F41" s="2">
        <v>0</v>
      </c>
      <c r="G41" s="2">
        <v>14</v>
      </c>
      <c r="H41" s="2">
        <v>14</v>
      </c>
      <c r="I41" s="2">
        <v>28</v>
      </c>
      <c r="J41" s="3">
        <f t="shared" si="1"/>
        <v>22.988061226666666</v>
      </c>
    </row>
    <row r="42" spans="1:10" x14ac:dyDescent="0.2">
      <c r="A42" t="s">
        <v>7</v>
      </c>
      <c r="B42" t="s">
        <v>4</v>
      </c>
      <c r="E42">
        <f t="shared" si="0"/>
        <v>0</v>
      </c>
      <c r="F42">
        <v>0</v>
      </c>
      <c r="G42">
        <v>14</v>
      </c>
      <c r="H42">
        <v>14</v>
      </c>
      <c r="I42">
        <v>28</v>
      </c>
      <c r="J42" s="4">
        <f t="shared" si="1"/>
        <v>22.988061226666666</v>
      </c>
    </row>
    <row r="43" spans="1:10" x14ac:dyDescent="0.2">
      <c r="A43" t="s">
        <v>7</v>
      </c>
      <c r="B43" t="s">
        <v>5</v>
      </c>
      <c r="C43">
        <v>0</v>
      </c>
      <c r="D43">
        <v>0</v>
      </c>
      <c r="E43">
        <f t="shared" si="0"/>
        <v>0</v>
      </c>
      <c r="F43">
        <v>0</v>
      </c>
      <c r="G43">
        <v>14</v>
      </c>
      <c r="H43">
        <v>14</v>
      </c>
      <c r="I43">
        <v>28</v>
      </c>
      <c r="J43" s="4">
        <f t="shared" si="1"/>
        <v>22.988061226666666</v>
      </c>
    </row>
  </sheetData>
  <autoFilter ref="A1:D1" xr:uid="{E44C2DE0-D314-CE4D-9570-1CF988B035AE}"/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p_final_cupins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19956</dc:creator>
  <cp:lastModifiedBy>s 19956</cp:lastModifiedBy>
  <dcterms:created xsi:type="dcterms:W3CDTF">2026-09-13T13:44:56Z</dcterms:created>
  <dcterms:modified xsi:type="dcterms:W3CDTF">2026-09-18T13:55:12Z</dcterms:modified>
</cp:coreProperties>
</file>