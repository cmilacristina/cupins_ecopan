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milacristina/ecopan/fase3/cupins_ecopan/data/raw/"/>
    </mc:Choice>
  </mc:AlternateContent>
  <xr:revisionPtr revIDLastSave="0" documentId="13_ncr:1_{E2083592-62B9-8840-83F8-A04A42B6ABD7}" xr6:coauthVersionLast="47" xr6:coauthVersionMax="47" xr10:uidLastSave="{00000000-0000-0000-0000-000000000000}"/>
  <bookViews>
    <workbookView xWindow="0" yWindow="660" windowWidth="29400" windowHeight="18460" xr2:uid="{04C7B980-90C4-4B4B-BE90-0937D8BBCD2B}"/>
  </bookViews>
  <sheets>
    <sheet name="hipotese1" sheetId="1" r:id="rId1"/>
  </sheets>
  <definedNames>
    <definedName name="_xlnm._FilterDatabase" localSheetId="0" hidden="1">hipotese1!$A$1:$D$1</definedName>
  </definedNames>
  <calcPr calcId="18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1" i="1" l="1"/>
  <c r="J42" i="1"/>
  <c r="J43" i="1"/>
  <c r="E41" i="1"/>
  <c r="E42" i="1"/>
  <c r="E43" i="1"/>
  <c r="E38" i="1"/>
  <c r="E39" i="1"/>
  <c r="E40" i="1"/>
  <c r="J38" i="1"/>
  <c r="J39" i="1"/>
  <c r="J40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2" i="1"/>
  <c r="J2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4" i="1"/>
</calcChain>
</file>

<file path=xl/sharedStrings.xml><?xml version="1.0" encoding="utf-8"?>
<sst xmlns="http://schemas.openxmlformats.org/spreadsheetml/2006/main" count="94" uniqueCount="27">
  <si>
    <t>ninho</t>
  </si>
  <si>
    <t>proximi</t>
  </si>
  <si>
    <t>c1</t>
  </si>
  <si>
    <t>p10</t>
  </si>
  <si>
    <t>p50</t>
  </si>
  <si>
    <t>p95</t>
  </si>
  <si>
    <t>c3</t>
  </si>
  <si>
    <t>c4</t>
  </si>
  <si>
    <t>c7</t>
  </si>
  <si>
    <t>c8</t>
  </si>
  <si>
    <t>c11</t>
  </si>
  <si>
    <t>c13</t>
  </si>
  <si>
    <t>c14</t>
  </si>
  <si>
    <t>c15</t>
  </si>
  <si>
    <t>c16</t>
  </si>
  <si>
    <t>c18</t>
  </si>
  <si>
    <t>c20</t>
  </si>
  <si>
    <t>c21</t>
  </si>
  <si>
    <t>n_cupim</t>
  </si>
  <si>
    <t>A_cm</t>
  </si>
  <si>
    <t>B_cm</t>
  </si>
  <si>
    <t>C_cm</t>
  </si>
  <si>
    <t>volume</t>
  </si>
  <si>
    <t>c2</t>
  </si>
  <si>
    <t>t_recrut</t>
  </si>
  <si>
    <t>t_ope_s</t>
  </si>
  <si>
    <t>t_sold_s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</si>
</sst>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0" xfId="0" applyFont="1" applyFill="1"/>
    <xf numFmtId="0" fontId="0" fillId="0" borderId="0" xfId="0" applyFill="1"/>
    <xf numFmtId="0" fontId="0" fillId="3" borderId="0" xfId="0" applyFill="1"/>
    <xf numFmtId="166" fontId="0" fillId="3" borderId="0" xfId="0" applyNumberFormat="1" applyFill="1"/>
    <xf numFmtId="166" fontId="0" fillId="0" borderId="0" xfId="0" applyNumberFormat="1" applyFill="1"/>
    <xf numFmtId="0" fontId="0" fillId="0" borderId="0" xfId="0" applyNumberFormat="1" applyFill="1"/>
    <xf numFmtId="2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C2DE0-D314-CE4D-9570-1CF988B035AE}">
  <dimension ref="A1:J73"/>
  <sheetViews>
    <sheetView tabSelected="1" zoomScale="130" zoomScaleNormal="130" workbookViewId="0">
      <pane ySplit="1" topLeftCell="A2" activePane="bottomLeft" state="frozen"/>
      <selection pane="bottomLeft" activeCell="G42" sqref="G42"/>
    </sheetView>
  </sheetViews>
  <sheetFormatPr baseColWidth="10" defaultRowHeight="16" x14ac:dyDescent="0.2"/>
  <sheetData>
    <row r="1" spans="1:10" s="1" customFormat="1" x14ac:dyDescent="0.2">
      <c r="A1" s="1" t="s">
        <v>0</v>
      </c>
      <c r="B1" s="1" t="s">
        <v>1</v>
      </c>
      <c r="C1" s="1" t="s">
        <v>26</v>
      </c>
      <c r="D1" s="1" t="s">
        <v>25</v>
      </c>
      <c r="E1" s="1" t="s">
        <v>24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</row>
    <row r="2" spans="1:10" s="3" customFormat="1" x14ac:dyDescent="0.2">
      <c r="A2" s="3" t="s">
        <v>8</v>
      </c>
      <c r="B2" s="3" t="s">
        <v>3</v>
      </c>
      <c r="E2" s="3">
        <f>D2-C2</f>
        <v>0</v>
      </c>
      <c r="G2" s="3">
        <v>11</v>
      </c>
      <c r="H2" s="3">
        <v>21</v>
      </c>
      <c r="I2" s="3">
        <v>13</v>
      </c>
      <c r="J2" s="4">
        <f>I2*H2*G2*(4/3)*(3.14159)/1000</f>
        <v>12.578926359999999</v>
      </c>
    </row>
    <row r="3" spans="1:10" s="2" customFormat="1" x14ac:dyDescent="0.2">
      <c r="A3" s="2" t="s">
        <v>8</v>
      </c>
      <c r="B3" s="2" t="s">
        <v>4</v>
      </c>
      <c r="C3" s="2">
        <v>0</v>
      </c>
      <c r="D3" s="2">
        <v>172</v>
      </c>
      <c r="E3" s="2">
        <f t="shared" ref="E3:E43" si="0">D3-C3</f>
        <v>172</v>
      </c>
      <c r="F3" s="2">
        <v>27</v>
      </c>
      <c r="G3" s="2">
        <v>11</v>
      </c>
      <c r="H3" s="2">
        <v>21</v>
      </c>
      <c r="I3" s="2">
        <v>13</v>
      </c>
      <c r="J3" s="5">
        <f>I3*H3*G3*(4/3)*(3.14159)/1000</f>
        <v>12.578926359999999</v>
      </c>
    </row>
    <row r="4" spans="1:10" s="2" customFormat="1" x14ac:dyDescent="0.2">
      <c r="A4" s="2" t="s">
        <v>8</v>
      </c>
      <c r="B4" s="2" t="s">
        <v>5</v>
      </c>
      <c r="C4" s="6">
        <v>88</v>
      </c>
      <c r="D4" s="2">
        <v>900</v>
      </c>
      <c r="E4" s="2">
        <f t="shared" si="0"/>
        <v>812</v>
      </c>
      <c r="F4" s="2">
        <v>3</v>
      </c>
      <c r="G4" s="7">
        <v>11</v>
      </c>
      <c r="H4" s="7">
        <v>21</v>
      </c>
      <c r="I4" s="7">
        <v>13</v>
      </c>
      <c r="J4" s="5">
        <f>I4*H4*G4*(4/3)*(3.14159)/1000</f>
        <v>12.578926359999999</v>
      </c>
    </row>
    <row r="5" spans="1:10" s="3" customFormat="1" x14ac:dyDescent="0.2">
      <c r="A5" s="3" t="s">
        <v>9</v>
      </c>
      <c r="B5" s="3" t="s">
        <v>3</v>
      </c>
      <c r="E5" s="3">
        <f t="shared" si="0"/>
        <v>0</v>
      </c>
      <c r="G5" s="3">
        <v>10</v>
      </c>
      <c r="H5" s="3">
        <v>20</v>
      </c>
      <c r="I5" s="3">
        <v>12</v>
      </c>
      <c r="J5" s="4">
        <f t="shared" ref="J5:J43" si="1">I5*H5*G5*(4/3)*(3.14159)/1000</f>
        <v>10.053087999999999</v>
      </c>
    </row>
    <row r="6" spans="1:10" s="2" customFormat="1" x14ac:dyDescent="0.2">
      <c r="A6" s="2" t="s">
        <v>9</v>
      </c>
      <c r="B6" s="2" t="s">
        <v>4</v>
      </c>
      <c r="E6" s="2">
        <f t="shared" si="0"/>
        <v>0</v>
      </c>
      <c r="F6" s="2">
        <v>0</v>
      </c>
      <c r="G6" s="2">
        <v>10</v>
      </c>
      <c r="H6" s="2">
        <v>20</v>
      </c>
      <c r="I6" s="2">
        <v>12</v>
      </c>
      <c r="J6" s="5">
        <f t="shared" si="1"/>
        <v>10.053087999999999</v>
      </c>
    </row>
    <row r="7" spans="1:10" s="2" customFormat="1" x14ac:dyDescent="0.2">
      <c r="A7" s="2" t="s">
        <v>9</v>
      </c>
      <c r="B7" s="2" t="s">
        <v>5</v>
      </c>
      <c r="E7" s="2">
        <f t="shared" si="0"/>
        <v>0</v>
      </c>
      <c r="F7" s="2">
        <v>0</v>
      </c>
      <c r="G7" s="2">
        <v>10</v>
      </c>
      <c r="H7" s="2">
        <v>20</v>
      </c>
      <c r="I7" s="2">
        <v>12</v>
      </c>
      <c r="J7" s="5">
        <f t="shared" si="1"/>
        <v>10.053087999999999</v>
      </c>
    </row>
    <row r="8" spans="1:10" s="3" customFormat="1" x14ac:dyDescent="0.2">
      <c r="A8" s="3" t="s">
        <v>10</v>
      </c>
      <c r="B8" s="3" t="s">
        <v>3</v>
      </c>
      <c r="E8" s="3">
        <f t="shared" si="0"/>
        <v>0</v>
      </c>
      <c r="G8" s="3">
        <v>90</v>
      </c>
      <c r="H8" s="3">
        <v>22</v>
      </c>
      <c r="I8" s="3">
        <v>49</v>
      </c>
      <c r="J8" s="4">
        <f t="shared" si="1"/>
        <v>406.39608240000001</v>
      </c>
    </row>
    <row r="9" spans="1:10" s="2" customFormat="1" x14ac:dyDescent="0.2">
      <c r="A9" s="2" t="s">
        <v>10</v>
      </c>
      <c r="B9" s="2" t="s">
        <v>4</v>
      </c>
      <c r="C9" s="2">
        <v>218</v>
      </c>
      <c r="D9" s="2">
        <v>472</v>
      </c>
      <c r="E9" s="2">
        <f t="shared" si="0"/>
        <v>254</v>
      </c>
      <c r="F9" s="2">
        <v>3</v>
      </c>
      <c r="G9" s="2">
        <v>90</v>
      </c>
      <c r="H9" s="2">
        <v>22</v>
      </c>
      <c r="I9" s="2">
        <v>49</v>
      </c>
      <c r="J9" s="5">
        <f t="shared" si="1"/>
        <v>406.39608240000001</v>
      </c>
    </row>
    <row r="10" spans="1:10" s="2" customFormat="1" x14ac:dyDescent="0.2">
      <c r="A10" s="2" t="s">
        <v>10</v>
      </c>
      <c r="B10" s="2" t="s">
        <v>5</v>
      </c>
      <c r="C10" s="2">
        <v>0</v>
      </c>
      <c r="D10" s="2">
        <v>138</v>
      </c>
      <c r="E10" s="2">
        <f t="shared" si="0"/>
        <v>138</v>
      </c>
      <c r="F10" s="2">
        <v>21</v>
      </c>
      <c r="G10" s="2">
        <v>90</v>
      </c>
      <c r="H10" s="2">
        <v>22</v>
      </c>
      <c r="I10" s="2">
        <v>49</v>
      </c>
      <c r="J10" s="5">
        <f t="shared" si="1"/>
        <v>406.39608240000001</v>
      </c>
    </row>
    <row r="11" spans="1:10" s="3" customFormat="1" x14ac:dyDescent="0.2">
      <c r="A11" s="3" t="s">
        <v>6</v>
      </c>
      <c r="B11" s="3" t="s">
        <v>3</v>
      </c>
      <c r="E11" s="3">
        <f t="shared" si="0"/>
        <v>0</v>
      </c>
      <c r="G11" s="3">
        <v>39</v>
      </c>
      <c r="H11" s="3">
        <v>11</v>
      </c>
      <c r="I11" s="3">
        <v>22</v>
      </c>
      <c r="J11" s="4">
        <f t="shared" si="1"/>
        <v>39.533768559999999</v>
      </c>
    </row>
    <row r="12" spans="1:10" s="2" customFormat="1" x14ac:dyDescent="0.2">
      <c r="A12" s="2" t="s">
        <v>6</v>
      </c>
      <c r="B12" s="2" t="s">
        <v>4</v>
      </c>
      <c r="C12" s="2">
        <v>13</v>
      </c>
      <c r="D12" s="2">
        <v>364</v>
      </c>
      <c r="E12" s="2">
        <f t="shared" si="0"/>
        <v>351</v>
      </c>
      <c r="F12" s="2">
        <v>5</v>
      </c>
      <c r="G12" s="2">
        <v>39</v>
      </c>
      <c r="H12" s="2">
        <v>11</v>
      </c>
      <c r="I12" s="2">
        <v>22</v>
      </c>
      <c r="J12" s="5">
        <f t="shared" si="1"/>
        <v>39.533768559999999</v>
      </c>
    </row>
    <row r="13" spans="1:10" s="2" customFormat="1" x14ac:dyDescent="0.2">
      <c r="A13" s="2" t="s">
        <v>6</v>
      </c>
      <c r="B13" s="2" t="s">
        <v>5</v>
      </c>
      <c r="C13" s="2">
        <v>20</v>
      </c>
      <c r="D13" s="2">
        <v>460</v>
      </c>
      <c r="E13" s="2">
        <f t="shared" si="0"/>
        <v>440</v>
      </c>
      <c r="F13" s="2">
        <v>34</v>
      </c>
      <c r="G13" s="2">
        <v>39</v>
      </c>
      <c r="H13" s="2">
        <v>11</v>
      </c>
      <c r="I13" s="2">
        <v>22</v>
      </c>
      <c r="J13" s="5">
        <f t="shared" si="1"/>
        <v>39.533768559999999</v>
      </c>
    </row>
    <row r="14" spans="1:10" s="3" customFormat="1" x14ac:dyDescent="0.2">
      <c r="A14" s="3" t="s">
        <v>2</v>
      </c>
      <c r="B14" s="3" t="s">
        <v>3</v>
      </c>
      <c r="E14" s="3">
        <f t="shared" si="0"/>
        <v>0</v>
      </c>
      <c r="G14" s="3">
        <v>46</v>
      </c>
      <c r="H14" s="3">
        <v>27</v>
      </c>
      <c r="I14" s="3">
        <v>22</v>
      </c>
      <c r="J14" s="4">
        <f t="shared" si="1"/>
        <v>114.45440687999999</v>
      </c>
    </row>
    <row r="15" spans="1:10" s="2" customFormat="1" x14ac:dyDescent="0.2">
      <c r="A15" s="2" t="s">
        <v>2</v>
      </c>
      <c r="B15" s="2" t="s">
        <v>4</v>
      </c>
      <c r="C15" s="2">
        <v>9</v>
      </c>
      <c r="D15" s="2">
        <v>336</v>
      </c>
      <c r="E15" s="2">
        <f t="shared" si="0"/>
        <v>327</v>
      </c>
      <c r="F15" s="2">
        <v>24</v>
      </c>
      <c r="G15" s="2">
        <v>46</v>
      </c>
      <c r="H15" s="2">
        <v>27</v>
      </c>
      <c r="I15" s="2">
        <v>22</v>
      </c>
      <c r="J15" s="5">
        <f t="shared" si="1"/>
        <v>114.45440687999999</v>
      </c>
    </row>
    <row r="16" spans="1:10" s="2" customFormat="1" x14ac:dyDescent="0.2">
      <c r="A16" s="2" t="s">
        <v>2</v>
      </c>
      <c r="B16" s="2" t="s">
        <v>5</v>
      </c>
      <c r="C16" s="2">
        <v>0</v>
      </c>
      <c r="D16" s="2">
        <v>320</v>
      </c>
      <c r="E16" s="2">
        <f t="shared" si="0"/>
        <v>320</v>
      </c>
      <c r="F16" s="2">
        <v>130</v>
      </c>
      <c r="G16" s="2">
        <v>46</v>
      </c>
      <c r="H16" s="2">
        <v>27</v>
      </c>
      <c r="I16" s="2">
        <v>22</v>
      </c>
      <c r="J16" s="5">
        <f t="shared" si="1"/>
        <v>114.45440687999999</v>
      </c>
    </row>
    <row r="17" spans="1:10" s="3" customFormat="1" x14ac:dyDescent="0.2">
      <c r="A17" s="3" t="s">
        <v>11</v>
      </c>
      <c r="B17" s="3" t="s">
        <v>3</v>
      </c>
      <c r="E17" s="3">
        <f t="shared" si="0"/>
        <v>0</v>
      </c>
      <c r="G17" s="3">
        <v>26</v>
      </c>
      <c r="H17" s="3">
        <v>19</v>
      </c>
      <c r="I17" s="3">
        <v>23</v>
      </c>
      <c r="J17" s="4">
        <f t="shared" si="1"/>
        <v>47.592994106666659</v>
      </c>
    </row>
    <row r="18" spans="1:10" s="2" customFormat="1" x14ac:dyDescent="0.2">
      <c r="A18" s="2" t="s">
        <v>11</v>
      </c>
      <c r="B18" s="2" t="s">
        <v>4</v>
      </c>
      <c r="C18" s="2">
        <v>0</v>
      </c>
      <c r="D18" s="2">
        <v>480</v>
      </c>
      <c r="E18" s="2">
        <f t="shared" si="0"/>
        <v>480</v>
      </c>
      <c r="F18" s="2">
        <v>18</v>
      </c>
      <c r="G18" s="2">
        <v>26</v>
      </c>
      <c r="H18" s="2">
        <v>19</v>
      </c>
      <c r="I18" s="2">
        <v>23</v>
      </c>
      <c r="J18" s="5">
        <f t="shared" si="1"/>
        <v>47.592994106666659</v>
      </c>
    </row>
    <row r="19" spans="1:10" s="2" customFormat="1" x14ac:dyDescent="0.2">
      <c r="A19" s="2" t="s">
        <v>11</v>
      </c>
      <c r="B19" s="2" t="s">
        <v>5</v>
      </c>
      <c r="C19" s="2">
        <v>2</v>
      </c>
      <c r="D19" s="2">
        <v>393</v>
      </c>
      <c r="E19" s="2">
        <f t="shared" si="0"/>
        <v>391</v>
      </c>
      <c r="F19" s="2">
        <v>30</v>
      </c>
      <c r="G19" s="2">
        <v>26</v>
      </c>
      <c r="H19" s="2">
        <v>19</v>
      </c>
      <c r="I19" s="2">
        <v>23</v>
      </c>
      <c r="J19" s="5">
        <f t="shared" si="1"/>
        <v>47.592994106666659</v>
      </c>
    </row>
    <row r="20" spans="1:10" s="3" customFormat="1" x14ac:dyDescent="0.2">
      <c r="A20" s="3" t="s">
        <v>12</v>
      </c>
      <c r="B20" s="3" t="s">
        <v>3</v>
      </c>
      <c r="E20" s="3">
        <f t="shared" si="0"/>
        <v>0</v>
      </c>
      <c r="G20" s="3">
        <v>42</v>
      </c>
      <c r="H20" s="3">
        <v>21</v>
      </c>
      <c r="I20" s="3">
        <v>35</v>
      </c>
      <c r="J20" s="4">
        <f t="shared" si="1"/>
        <v>129.30784439999999</v>
      </c>
    </row>
    <row r="21" spans="1:10" s="2" customFormat="1" x14ac:dyDescent="0.2">
      <c r="A21" s="2" t="s">
        <v>12</v>
      </c>
      <c r="B21" s="2" t="s">
        <v>4</v>
      </c>
      <c r="C21" s="2">
        <v>4</v>
      </c>
      <c r="D21" s="2">
        <v>712</v>
      </c>
      <c r="E21" s="2">
        <f t="shared" si="0"/>
        <v>708</v>
      </c>
      <c r="F21" s="2">
        <v>29</v>
      </c>
      <c r="G21" s="2">
        <v>42</v>
      </c>
      <c r="H21" s="2">
        <v>21</v>
      </c>
      <c r="I21" s="2">
        <v>35</v>
      </c>
      <c r="J21" s="5">
        <f t="shared" si="1"/>
        <v>129.30784439999999</v>
      </c>
    </row>
    <row r="22" spans="1:10" s="2" customFormat="1" x14ac:dyDescent="0.2">
      <c r="A22" s="2" t="s">
        <v>12</v>
      </c>
      <c r="B22" s="2" t="s">
        <v>5</v>
      </c>
      <c r="C22" s="2">
        <v>9</v>
      </c>
      <c r="D22" s="2">
        <v>192</v>
      </c>
      <c r="E22" s="2">
        <f t="shared" si="0"/>
        <v>183</v>
      </c>
      <c r="F22" s="2">
        <v>120</v>
      </c>
      <c r="G22" s="2">
        <v>42</v>
      </c>
      <c r="H22" s="2">
        <v>21</v>
      </c>
      <c r="I22" s="2">
        <v>35</v>
      </c>
      <c r="J22" s="5">
        <f t="shared" si="1"/>
        <v>129.30784439999999</v>
      </c>
    </row>
    <row r="23" spans="1:10" s="3" customFormat="1" x14ac:dyDescent="0.2">
      <c r="A23" s="3" t="s">
        <v>13</v>
      </c>
      <c r="B23" s="3" t="s">
        <v>3</v>
      </c>
      <c r="E23" s="3">
        <f t="shared" si="0"/>
        <v>0</v>
      </c>
      <c r="G23" s="3">
        <v>44</v>
      </c>
      <c r="H23" s="3">
        <v>24</v>
      </c>
      <c r="I23" s="3">
        <v>33</v>
      </c>
      <c r="J23" s="4">
        <f t="shared" si="1"/>
        <v>145.97083775999999</v>
      </c>
    </row>
    <row r="24" spans="1:10" s="2" customFormat="1" x14ac:dyDescent="0.2">
      <c r="A24" s="2" t="s">
        <v>13</v>
      </c>
      <c r="B24" s="2" t="s">
        <v>4</v>
      </c>
      <c r="E24" s="2">
        <f t="shared" si="0"/>
        <v>0</v>
      </c>
      <c r="F24" s="2">
        <v>0</v>
      </c>
      <c r="G24" s="2">
        <v>44</v>
      </c>
      <c r="H24" s="2">
        <v>24</v>
      </c>
      <c r="I24" s="2">
        <v>33</v>
      </c>
      <c r="J24" s="5">
        <f t="shared" si="1"/>
        <v>145.97083775999999</v>
      </c>
    </row>
    <row r="25" spans="1:10" s="2" customFormat="1" x14ac:dyDescent="0.2">
      <c r="A25" s="2" t="s">
        <v>13</v>
      </c>
      <c r="B25" s="2" t="s">
        <v>5</v>
      </c>
      <c r="C25" s="2">
        <v>0</v>
      </c>
      <c r="D25" s="2">
        <v>0</v>
      </c>
      <c r="E25" s="2">
        <f t="shared" si="0"/>
        <v>0</v>
      </c>
      <c r="F25" s="2">
        <v>0</v>
      </c>
      <c r="G25" s="2">
        <v>44</v>
      </c>
      <c r="H25" s="2">
        <v>24</v>
      </c>
      <c r="I25" s="2">
        <v>33</v>
      </c>
      <c r="J25" s="5">
        <f t="shared" si="1"/>
        <v>145.97083775999999</v>
      </c>
    </row>
    <row r="26" spans="1:10" s="3" customFormat="1" x14ac:dyDescent="0.2">
      <c r="A26" s="3" t="s">
        <v>14</v>
      </c>
      <c r="B26" s="3" t="s">
        <v>3</v>
      </c>
      <c r="E26" s="3">
        <f t="shared" si="0"/>
        <v>0</v>
      </c>
      <c r="G26" s="3">
        <v>40</v>
      </c>
      <c r="H26" s="3">
        <v>30</v>
      </c>
      <c r="I26" s="3">
        <v>22</v>
      </c>
      <c r="J26" s="4">
        <f t="shared" si="1"/>
        <v>110.583968</v>
      </c>
    </row>
    <row r="27" spans="1:10" s="2" customFormat="1" x14ac:dyDescent="0.2">
      <c r="A27" s="2" t="s">
        <v>14</v>
      </c>
      <c r="B27" s="2" t="s">
        <v>4</v>
      </c>
      <c r="C27" s="2">
        <v>10</v>
      </c>
      <c r="D27" s="2">
        <v>59</v>
      </c>
      <c r="E27" s="2">
        <f t="shared" si="0"/>
        <v>49</v>
      </c>
      <c r="F27" s="2">
        <v>16</v>
      </c>
      <c r="G27" s="2">
        <v>40</v>
      </c>
      <c r="H27" s="2">
        <v>30</v>
      </c>
      <c r="I27" s="2">
        <v>22</v>
      </c>
      <c r="J27" s="5">
        <f t="shared" si="1"/>
        <v>110.583968</v>
      </c>
    </row>
    <row r="28" spans="1:10" s="2" customFormat="1" x14ac:dyDescent="0.2">
      <c r="A28" s="2" t="s">
        <v>14</v>
      </c>
      <c r="B28" s="2" t="s">
        <v>5</v>
      </c>
      <c r="C28" s="2">
        <v>5</v>
      </c>
      <c r="D28" s="2">
        <v>58</v>
      </c>
      <c r="E28" s="2">
        <f t="shared" si="0"/>
        <v>53</v>
      </c>
      <c r="F28" s="2">
        <v>15</v>
      </c>
      <c r="G28" s="2">
        <v>40</v>
      </c>
      <c r="H28" s="2">
        <v>30</v>
      </c>
      <c r="I28" s="2">
        <v>22</v>
      </c>
      <c r="J28" s="5">
        <f t="shared" si="1"/>
        <v>110.583968</v>
      </c>
    </row>
    <row r="29" spans="1:10" s="3" customFormat="1" x14ac:dyDescent="0.2">
      <c r="A29" s="3" t="s">
        <v>17</v>
      </c>
      <c r="B29" s="3" t="s">
        <v>3</v>
      </c>
      <c r="E29" s="3">
        <f t="shared" si="0"/>
        <v>0</v>
      </c>
      <c r="G29" s="3">
        <v>27</v>
      </c>
      <c r="H29" s="3">
        <v>30</v>
      </c>
      <c r="I29" s="3">
        <v>17</v>
      </c>
      <c r="J29" s="4">
        <f t="shared" si="1"/>
        <v>57.679592400000004</v>
      </c>
    </row>
    <row r="30" spans="1:10" s="2" customFormat="1" x14ac:dyDescent="0.2">
      <c r="A30" s="2" t="s">
        <v>17</v>
      </c>
      <c r="B30" s="2" t="s">
        <v>4</v>
      </c>
      <c r="C30" s="2">
        <v>11</v>
      </c>
      <c r="D30" s="2">
        <v>123</v>
      </c>
      <c r="E30" s="2">
        <f t="shared" si="0"/>
        <v>112</v>
      </c>
      <c r="F30" s="2">
        <v>14</v>
      </c>
      <c r="G30" s="2">
        <v>27</v>
      </c>
      <c r="H30" s="2">
        <v>30</v>
      </c>
      <c r="I30" s="2">
        <v>17</v>
      </c>
      <c r="J30" s="5">
        <f t="shared" si="1"/>
        <v>57.679592400000004</v>
      </c>
    </row>
    <row r="31" spans="1:10" s="2" customFormat="1" x14ac:dyDescent="0.2">
      <c r="A31" s="2" t="s">
        <v>17</v>
      </c>
      <c r="B31" s="2" t="s">
        <v>5</v>
      </c>
      <c r="C31" s="2">
        <v>0</v>
      </c>
      <c r="D31" s="2">
        <v>350</v>
      </c>
      <c r="E31" s="2">
        <f t="shared" si="0"/>
        <v>350</v>
      </c>
      <c r="F31" s="2">
        <v>32</v>
      </c>
      <c r="G31" s="2">
        <v>27</v>
      </c>
      <c r="H31" s="2">
        <v>30</v>
      </c>
      <c r="I31" s="2">
        <v>17</v>
      </c>
      <c r="J31" s="5">
        <f t="shared" si="1"/>
        <v>57.679592400000004</v>
      </c>
    </row>
    <row r="32" spans="1:10" s="3" customFormat="1" x14ac:dyDescent="0.2">
      <c r="A32" s="3" t="s">
        <v>15</v>
      </c>
      <c r="B32" s="3" t="s">
        <v>3</v>
      </c>
      <c r="E32" s="3">
        <f t="shared" si="0"/>
        <v>0</v>
      </c>
      <c r="G32" s="3">
        <v>35</v>
      </c>
      <c r="H32" s="3">
        <v>20</v>
      </c>
      <c r="I32" s="3">
        <v>40</v>
      </c>
      <c r="J32" s="4">
        <f t="shared" si="1"/>
        <v>117.28602666666664</v>
      </c>
    </row>
    <row r="33" spans="1:10" s="2" customFormat="1" x14ac:dyDescent="0.2">
      <c r="A33" s="2" t="s">
        <v>15</v>
      </c>
      <c r="B33" s="2" t="s">
        <v>4</v>
      </c>
      <c r="C33" s="2">
        <v>7</v>
      </c>
      <c r="D33" s="2">
        <v>974</v>
      </c>
      <c r="E33" s="2">
        <f t="shared" si="0"/>
        <v>967</v>
      </c>
      <c r="F33" s="2">
        <v>17</v>
      </c>
      <c r="G33" s="2">
        <v>35</v>
      </c>
      <c r="H33" s="2">
        <v>20</v>
      </c>
      <c r="I33" s="2">
        <v>40</v>
      </c>
      <c r="J33" s="5">
        <f t="shared" si="1"/>
        <v>117.28602666666664</v>
      </c>
    </row>
    <row r="34" spans="1:10" s="2" customFormat="1" x14ac:dyDescent="0.2">
      <c r="A34" s="2" t="s">
        <v>15</v>
      </c>
      <c r="B34" s="2" t="s">
        <v>5</v>
      </c>
      <c r="C34" s="2">
        <v>0</v>
      </c>
      <c r="D34" s="2">
        <v>699</v>
      </c>
      <c r="E34" s="2">
        <f t="shared" si="0"/>
        <v>699</v>
      </c>
      <c r="F34" s="2">
        <v>300</v>
      </c>
      <c r="G34" s="2">
        <v>35</v>
      </c>
      <c r="H34" s="2">
        <v>20</v>
      </c>
      <c r="I34" s="2">
        <v>40</v>
      </c>
      <c r="J34" s="5">
        <f t="shared" si="1"/>
        <v>117.28602666666664</v>
      </c>
    </row>
    <row r="35" spans="1:10" s="3" customFormat="1" x14ac:dyDescent="0.2">
      <c r="A35" s="3" t="s">
        <v>16</v>
      </c>
      <c r="B35" s="3" t="s">
        <v>3</v>
      </c>
      <c r="E35" s="3">
        <f t="shared" si="0"/>
        <v>0</v>
      </c>
      <c r="G35" s="3">
        <v>20</v>
      </c>
      <c r="H35" s="3">
        <v>15</v>
      </c>
      <c r="I35" s="3">
        <v>20</v>
      </c>
      <c r="J35" s="4">
        <f t="shared" si="1"/>
        <v>25.132719999999999</v>
      </c>
    </row>
    <row r="36" spans="1:10" s="2" customFormat="1" x14ac:dyDescent="0.2">
      <c r="A36" s="2" t="s">
        <v>16</v>
      </c>
      <c r="B36" s="2" t="s">
        <v>4</v>
      </c>
      <c r="C36" s="2">
        <v>3</v>
      </c>
      <c r="D36" s="2">
        <v>643</v>
      </c>
      <c r="E36" s="2">
        <f t="shared" si="0"/>
        <v>640</v>
      </c>
      <c r="F36" s="2">
        <v>18</v>
      </c>
      <c r="G36" s="2">
        <v>20</v>
      </c>
      <c r="H36" s="2">
        <v>15</v>
      </c>
      <c r="I36" s="2">
        <v>20</v>
      </c>
      <c r="J36" s="5">
        <f t="shared" si="1"/>
        <v>25.132719999999999</v>
      </c>
    </row>
    <row r="37" spans="1:10" s="2" customFormat="1" x14ac:dyDescent="0.2">
      <c r="A37" s="2" t="s">
        <v>16</v>
      </c>
      <c r="B37" s="2" t="s">
        <v>5</v>
      </c>
      <c r="C37" s="2">
        <v>15</v>
      </c>
      <c r="D37" s="2">
        <v>68</v>
      </c>
      <c r="E37" s="2">
        <f t="shared" si="0"/>
        <v>53</v>
      </c>
      <c r="F37" s="2">
        <v>35</v>
      </c>
      <c r="G37" s="2">
        <v>20</v>
      </c>
      <c r="H37" s="2">
        <v>15</v>
      </c>
      <c r="I37" s="2">
        <v>20</v>
      </c>
      <c r="J37" s="5">
        <f t="shared" si="1"/>
        <v>25.132719999999999</v>
      </c>
    </row>
    <row r="38" spans="1:10" s="3" customFormat="1" x14ac:dyDescent="0.2">
      <c r="A38" s="3" t="s">
        <v>23</v>
      </c>
      <c r="B38" s="3" t="s">
        <v>3</v>
      </c>
      <c r="E38" s="3">
        <f t="shared" si="0"/>
        <v>0</v>
      </c>
      <c r="G38" s="3">
        <v>18</v>
      </c>
      <c r="H38" s="3">
        <v>23</v>
      </c>
      <c r="I38" s="3">
        <v>22</v>
      </c>
      <c r="J38" s="4">
        <f t="shared" si="1"/>
        <v>38.151468959999995</v>
      </c>
    </row>
    <row r="39" spans="1:10" s="2" customFormat="1" x14ac:dyDescent="0.2">
      <c r="A39" s="2" t="s">
        <v>23</v>
      </c>
      <c r="B39" s="2" t="s">
        <v>4</v>
      </c>
      <c r="C39" s="2">
        <v>34</v>
      </c>
      <c r="D39" s="2">
        <v>516</v>
      </c>
      <c r="E39" s="2">
        <f t="shared" si="0"/>
        <v>482</v>
      </c>
      <c r="F39" s="2">
        <v>4</v>
      </c>
      <c r="G39" s="2">
        <v>18</v>
      </c>
      <c r="H39" s="2">
        <v>23</v>
      </c>
      <c r="I39" s="2">
        <v>22</v>
      </c>
      <c r="J39" s="5">
        <f t="shared" si="1"/>
        <v>38.151468959999995</v>
      </c>
    </row>
    <row r="40" spans="1:10" s="2" customFormat="1" x14ac:dyDescent="0.2">
      <c r="A40" s="2" t="s">
        <v>23</v>
      </c>
      <c r="B40" s="2" t="s">
        <v>5</v>
      </c>
      <c r="C40" s="2">
        <v>10</v>
      </c>
      <c r="D40" s="2">
        <v>264</v>
      </c>
      <c r="E40" s="2">
        <f t="shared" si="0"/>
        <v>254</v>
      </c>
      <c r="F40" s="2">
        <v>23</v>
      </c>
      <c r="G40" s="2">
        <v>18</v>
      </c>
      <c r="H40" s="2">
        <v>23</v>
      </c>
      <c r="I40" s="2">
        <v>22</v>
      </c>
      <c r="J40" s="5">
        <f t="shared" si="1"/>
        <v>38.151468959999995</v>
      </c>
    </row>
    <row r="41" spans="1:10" s="3" customFormat="1" x14ac:dyDescent="0.2">
      <c r="A41" s="3" t="s">
        <v>7</v>
      </c>
      <c r="B41" s="3" t="s">
        <v>3</v>
      </c>
      <c r="E41" s="3">
        <f t="shared" si="0"/>
        <v>0</v>
      </c>
      <c r="G41" s="3">
        <v>14</v>
      </c>
      <c r="H41" s="3">
        <v>14</v>
      </c>
      <c r="I41" s="3">
        <v>28</v>
      </c>
      <c r="J41" s="4">
        <f t="shared" si="1"/>
        <v>22.988061226666666</v>
      </c>
    </row>
    <row r="42" spans="1:10" s="2" customFormat="1" x14ac:dyDescent="0.2">
      <c r="A42" s="2" t="s">
        <v>7</v>
      </c>
      <c r="B42" s="2" t="s">
        <v>4</v>
      </c>
      <c r="E42" s="2">
        <f t="shared" si="0"/>
        <v>0</v>
      </c>
      <c r="F42" s="2">
        <v>0</v>
      </c>
      <c r="G42" s="2">
        <v>14</v>
      </c>
      <c r="H42" s="2">
        <v>14</v>
      </c>
      <c r="I42" s="2">
        <v>28</v>
      </c>
      <c r="J42" s="5">
        <f t="shared" si="1"/>
        <v>22.988061226666666</v>
      </c>
    </row>
    <row r="43" spans="1:10" s="2" customFormat="1" x14ac:dyDescent="0.2">
      <c r="A43" s="2" t="s">
        <v>7</v>
      </c>
      <c r="B43" s="2" t="s">
        <v>5</v>
      </c>
      <c r="C43" s="2">
        <v>0</v>
      </c>
      <c r="D43" s="2">
        <v>0</v>
      </c>
      <c r="E43" s="2">
        <f t="shared" si="0"/>
        <v>0</v>
      </c>
      <c r="F43" s="2">
        <v>0</v>
      </c>
      <c r="G43" s="2">
        <v>14</v>
      </c>
      <c r="H43" s="2">
        <v>14</v>
      </c>
      <c r="I43" s="2">
        <v>28</v>
      </c>
      <c r="J43" s="5">
        <f t="shared" si="1"/>
        <v>22.988061226666666</v>
      </c>
    </row>
    <row r="44" spans="1:10" s="2" customFormat="1" x14ac:dyDescent="0.2"/>
    <row r="45" spans="1:10" s="2" customFormat="1" x14ac:dyDescent="0.2"/>
    <row r="46" spans="1:10" s="2" customFormat="1" x14ac:dyDescent="0.2"/>
    <row r="47" spans="1:10" s="2" customFormat="1" x14ac:dyDescent="0.2"/>
    <row r="48" spans="1:10" s="2" customFormat="1" x14ac:dyDescent="0.2"/>
    <row r="49" s="2" customFormat="1" x14ac:dyDescent="0.2"/>
    <row r="50" s="2" customFormat="1" x14ac:dyDescent="0.2"/>
    <row r="51" s="2" customFormat="1" x14ac:dyDescent="0.2"/>
    <row r="52" s="2" customFormat="1" x14ac:dyDescent="0.2"/>
    <row r="53" s="2" customFormat="1" x14ac:dyDescent="0.2"/>
    <row r="54" s="2" customFormat="1" x14ac:dyDescent="0.2"/>
    <row r="55" s="2" customFormat="1" x14ac:dyDescent="0.2"/>
    <row r="56" s="2" customFormat="1" x14ac:dyDescent="0.2"/>
    <row r="57" s="2" customFormat="1" x14ac:dyDescent="0.2"/>
    <row r="58" s="2" customFormat="1" x14ac:dyDescent="0.2"/>
    <row r="59" s="2" customFormat="1" x14ac:dyDescent="0.2"/>
    <row r="60" s="2" customFormat="1" x14ac:dyDescent="0.2"/>
    <row r="61" s="2" customFormat="1" x14ac:dyDescent="0.2"/>
    <row r="62" s="2" customFormat="1" x14ac:dyDescent="0.2"/>
    <row r="63" s="2" customFormat="1" x14ac:dyDescent="0.2"/>
    <row r="64" s="2" customFormat="1" x14ac:dyDescent="0.2"/>
    <row r="65" s="2" customFormat="1" x14ac:dyDescent="0.2"/>
    <row r="66" s="2" customFormat="1" x14ac:dyDescent="0.2"/>
    <row r="67" s="2" customFormat="1" x14ac:dyDescent="0.2"/>
    <row r="68" s="2" customFormat="1" x14ac:dyDescent="0.2"/>
    <row r="69" s="2" customFormat="1" x14ac:dyDescent="0.2"/>
    <row r="70" s="2" customFormat="1" x14ac:dyDescent="0.2"/>
    <row r="71" s="2" customFormat="1" x14ac:dyDescent="0.2"/>
    <row r="72" s="2" customFormat="1" x14ac:dyDescent="0.2"/>
    <row r="73" s="2" customFormat="1" x14ac:dyDescent="0.2"/>
  </sheetData>
  <autoFilter ref="A1:D1" xr:uid="{E44C2DE0-D314-CE4D-9570-1CF988B035AE}"/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hipotese1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 19956</dc:creator>
  <cp:lastModifiedBy>s 19956</cp:lastModifiedBy>
  <dcterms:created xsi:type="dcterms:W3CDTF">2026-09-13T13:44:56Z</dcterms:created>
  <dcterms:modified xsi:type="dcterms:W3CDTF">2026-09-16T14:42:22Z</dcterms:modified>
</cp:coreProperties>
</file>